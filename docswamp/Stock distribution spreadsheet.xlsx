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oll\Documents\Clients\Ken Greenwood\PendSpend\"/>
    </mc:Choice>
  </mc:AlternateContent>
  <xr:revisionPtr revIDLastSave="0" documentId="8_{8A7C14BB-6D8F-4D68-A866-60A8B7DF37BA}" xr6:coauthVersionLast="47" xr6:coauthVersionMax="47" xr10:uidLastSave="{00000000-0000-0000-0000-000000000000}"/>
  <bookViews>
    <workbookView xWindow="-108" yWindow="-108" windowWidth="23256" windowHeight="13896" xr2:uid="{72DF4D5D-DA0A-4A10-B715-D7773CA18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1" l="1"/>
  <c r="AD5" i="1"/>
  <c r="AC5" i="1"/>
  <c r="AB5" i="1"/>
  <c r="AA5" i="1"/>
  <c r="Z5" i="1"/>
  <c r="X5" i="1"/>
  <c r="W5" i="1"/>
  <c r="V5" i="1"/>
  <c r="U5" i="1"/>
  <c r="T5" i="1"/>
  <c r="S5" i="1"/>
  <c r="Q5" i="1"/>
  <c r="P5" i="1"/>
  <c r="O5" i="1"/>
  <c r="N5" i="1"/>
  <c r="M5" i="1"/>
  <c r="L5" i="1"/>
  <c r="J5" i="1"/>
  <c r="I5" i="1"/>
  <c r="H5" i="1"/>
  <c r="F5" i="1"/>
  <c r="E5" i="1"/>
  <c r="AE4" i="1"/>
  <c r="AD4" i="1"/>
  <c r="AC4" i="1"/>
  <c r="AB4" i="1"/>
  <c r="AA4" i="1"/>
  <c r="Z4" i="1"/>
  <c r="X4" i="1"/>
  <c r="W4" i="1"/>
  <c r="V4" i="1"/>
  <c r="U4" i="1"/>
  <c r="T4" i="1"/>
  <c r="S4" i="1"/>
  <c r="Q4" i="1"/>
  <c r="P4" i="1"/>
  <c r="O4" i="1"/>
  <c r="N4" i="1"/>
  <c r="M4" i="1"/>
  <c r="L4" i="1"/>
  <c r="J4" i="1"/>
  <c r="J3" i="1"/>
  <c r="H4" i="1"/>
  <c r="H3" i="1"/>
  <c r="I4" i="1"/>
  <c r="I3" i="1"/>
  <c r="F4" i="1"/>
  <c r="E4" i="1"/>
  <c r="Z3" i="1"/>
  <c r="AA3" i="1" s="1"/>
  <c r="AB3" i="1" s="1"/>
  <c r="S3" i="1"/>
  <c r="T3" i="1" s="1"/>
  <c r="U3" i="1" s="1"/>
  <c r="F3" i="1"/>
  <c r="E3" i="1"/>
  <c r="L3" i="1"/>
  <c r="M3" i="1" s="1"/>
  <c r="N3" i="1" s="1"/>
  <c r="AD3" i="1" l="1"/>
  <c r="AE3" i="1"/>
  <c r="W3" i="1"/>
  <c r="X3" i="1"/>
  <c r="P3" i="1"/>
  <c r="Q3" i="1"/>
  <c r="AC3" i="1"/>
  <c r="V3" i="1"/>
  <c r="O3" i="1"/>
</calcChain>
</file>

<file path=xl/sharedStrings.xml><?xml version="1.0" encoding="utf-8"?>
<sst xmlns="http://schemas.openxmlformats.org/spreadsheetml/2006/main" count="34" uniqueCount="20">
  <si>
    <t>Issued</t>
  </si>
  <si>
    <t>Authorized</t>
  </si>
  <si>
    <t>Founding valuation</t>
  </si>
  <si>
    <t>Valuation after $15k investment</t>
  </si>
  <si>
    <t>Remaining shares for future rounds</t>
  </si>
  <si>
    <t>Option 1</t>
  </si>
  <si>
    <t>Option 2</t>
  </si>
  <si>
    <t>Option 3</t>
  </si>
  <si>
    <t>Total issued shares</t>
  </si>
  <si>
    <t>Number of Shares issued to first round investors</t>
  </si>
  <si>
    <t>% of company remaining to founders</t>
  </si>
  <si>
    <t>Number of shares issued to Ken</t>
  </si>
  <si>
    <t>% of company to first round investors (=% of all issued shares after investment)</t>
  </si>
  <si>
    <t>% of company owned by Ken after first round</t>
  </si>
  <si>
    <t>Pre-dilution ownership Ken</t>
  </si>
  <si>
    <t>Pre-dilution ownership Jurgen</t>
  </si>
  <si>
    <t>Number of shares issued to Jurgen</t>
  </si>
  <si>
    <t>Remaining shares for issuing</t>
  </si>
  <si>
    <t>Price/share before dilution</t>
  </si>
  <si>
    <t>value/share after first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</si>
</sst>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&quot;$&quot;#,##0.0000_);[Red]\(&quot;$&quot;#,##0.0000\)"/>
    <numFmt numFmtId="170" formatCode="#,##0.0000"/>
    <numFmt numFmtId="171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3" fontId="0" fillId="0" borderId="0" xfId="0" applyNumberFormat="1"/>
    <xf numFmtId="0" fontId="2" fillId="0" borderId="0" xfId="0" applyFont="1" applyAlignment="1">
      <alignment wrapText="1"/>
    </xf>
    <xf numFmtId="9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2" applyNumberFormat="1" applyFont="1"/>
    <xf numFmtId="3" fontId="0" fillId="0" borderId="0" xfId="2" applyNumberFormat="1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9" fontId="0" fillId="0" borderId="0" xfId="2" applyNumberFormat="1" applyFont="1"/>
    <xf numFmtId="0" fontId="2" fillId="2" borderId="0" xfId="0" applyFont="1" applyFill="1" applyAlignment="1">
      <alignment wrapText="1"/>
    </xf>
    <xf numFmtId="9" fontId="0" fillId="2" borderId="0" xfId="0" applyNumberFormat="1" applyFill="1"/>
    <xf numFmtId="9" fontId="0" fillId="2" borderId="0" xfId="2" applyFont="1" applyFill="1"/>
    <xf numFmtId="0" fontId="2" fillId="3" borderId="0" xfId="0" applyFont="1" applyFill="1" applyAlignment="1">
      <alignment wrapText="1"/>
    </xf>
    <xf numFmtId="9" fontId="0" fillId="3" borderId="0" xfId="0" applyNumberFormat="1" applyFill="1"/>
    <xf numFmtId="0" fontId="0" fillId="3" borderId="0" xfId="0" applyFill="1"/>
    <xf numFmtId="9" fontId="0" fillId="3" borderId="0" xfId="2" applyFont="1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wrapText="1"/>
    </xf>
    <xf numFmtId="9" fontId="0" fillId="4" borderId="0" xfId="0" applyNumberFormat="1" applyFill="1"/>
    <xf numFmtId="0" fontId="0" fillId="4" borderId="0" xfId="0" applyFill="1"/>
    <xf numFmtId="9" fontId="0" fillId="4" borderId="0" xfId="2" applyFont="1" applyFill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44" fontId="2" fillId="0" borderId="0" xfId="1" applyFont="1" applyAlignment="1">
      <alignment wrapText="1"/>
    </xf>
    <xf numFmtId="170" fontId="0" fillId="0" borderId="0" xfId="2" applyNumberFormat="1" applyFont="1"/>
    <xf numFmtId="171" fontId="0" fillId="0" borderId="0" xfId="2" applyNumberFormat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4564-D915-428E-9FD9-C6F70CA1A71D}">
  <dimension ref="A1:AE5"/>
  <sheetViews>
    <sheetView tabSelected="1" workbookViewId="0">
      <selection activeCell="AE4" sqref="AE4:AE5"/>
    </sheetView>
  </sheetViews>
  <sheetFormatPr defaultRowHeight="14.4" x14ac:dyDescent="0.3"/>
  <cols>
    <col min="1" max="4" width="13.77734375" customWidth="1"/>
    <col min="5" max="6" width="11.33203125" customWidth="1"/>
    <col min="7" max="7" width="12.33203125" style="27" customWidth="1"/>
    <col min="8" max="8" width="8.88671875" style="5"/>
    <col min="9" max="9" width="11.33203125" customWidth="1"/>
    <col min="10" max="10" width="10.88671875" customWidth="1"/>
    <col min="11" max="11" width="10.88671875" style="12" customWidth="1"/>
    <col min="12" max="14" width="10.88671875" customWidth="1"/>
    <col min="15" max="15" width="11.77734375" style="12" customWidth="1"/>
    <col min="16" max="16" width="10.33203125" customWidth="1"/>
    <col min="17" max="17" width="12.109375" customWidth="1"/>
    <col min="18" max="18" width="10.88671875" style="20" customWidth="1"/>
    <col min="19" max="21" width="10.88671875" customWidth="1"/>
    <col min="22" max="22" width="11.77734375" style="20" customWidth="1"/>
    <col min="23" max="24" width="10.33203125" customWidth="1"/>
    <col min="25" max="25" width="10.88671875" style="25" customWidth="1"/>
    <col min="26" max="28" width="10.88671875" customWidth="1"/>
    <col min="29" max="29" width="11.77734375" style="25" customWidth="1"/>
    <col min="30" max="30" width="10.33203125" customWidth="1"/>
  </cols>
  <sheetData>
    <row r="1" spans="1:31" x14ac:dyDescent="0.3">
      <c r="K1" s="7" t="s">
        <v>5</v>
      </c>
      <c r="L1" s="7"/>
      <c r="M1" s="7"/>
      <c r="N1" s="7"/>
      <c r="O1" s="7"/>
      <c r="P1" s="7"/>
      <c r="Q1" s="11"/>
      <c r="R1" s="8" t="s">
        <v>6</v>
      </c>
      <c r="S1" s="8"/>
      <c r="T1" s="8"/>
      <c r="U1" s="8"/>
      <c r="V1" s="8"/>
      <c r="W1" s="8"/>
      <c r="X1" s="13"/>
      <c r="Y1" s="22" t="s">
        <v>7</v>
      </c>
      <c r="Z1" s="22"/>
      <c r="AA1" s="22"/>
      <c r="AB1" s="22"/>
      <c r="AC1" s="22"/>
      <c r="AD1" s="22"/>
      <c r="AE1" s="25"/>
    </row>
    <row r="2" spans="1:31" s="1" customFormat="1" ht="144" x14ac:dyDescent="0.3">
      <c r="A2" s="1" t="s">
        <v>1</v>
      </c>
      <c r="B2" s="1" t="s">
        <v>0</v>
      </c>
      <c r="C2" s="3" t="s">
        <v>14</v>
      </c>
      <c r="D2" s="3" t="s">
        <v>15</v>
      </c>
      <c r="E2" s="3" t="s">
        <v>11</v>
      </c>
      <c r="F2" s="3" t="s">
        <v>16</v>
      </c>
      <c r="G2" s="3" t="s">
        <v>18</v>
      </c>
      <c r="H2" s="29" t="s">
        <v>2</v>
      </c>
      <c r="I2" s="3" t="s">
        <v>17</v>
      </c>
      <c r="J2" s="3" t="s">
        <v>3</v>
      </c>
      <c r="K2" s="15" t="s">
        <v>12</v>
      </c>
      <c r="L2" s="3" t="s">
        <v>10</v>
      </c>
      <c r="M2" s="3" t="s">
        <v>9</v>
      </c>
      <c r="N2" s="3" t="s">
        <v>8</v>
      </c>
      <c r="O2" s="15" t="s">
        <v>13</v>
      </c>
      <c r="P2" s="3" t="s">
        <v>4</v>
      </c>
      <c r="Q2" s="3" t="s">
        <v>19</v>
      </c>
      <c r="R2" s="18" t="s">
        <v>12</v>
      </c>
      <c r="S2" s="3" t="s">
        <v>10</v>
      </c>
      <c r="T2" s="3" t="s">
        <v>9</v>
      </c>
      <c r="U2" s="3" t="s">
        <v>8</v>
      </c>
      <c r="V2" s="18" t="s">
        <v>13</v>
      </c>
      <c r="W2" s="3" t="s">
        <v>4</v>
      </c>
      <c r="X2" s="3" t="s">
        <v>19</v>
      </c>
      <c r="Y2" s="23" t="s">
        <v>12</v>
      </c>
      <c r="Z2" s="3" t="s">
        <v>10</v>
      </c>
      <c r="AA2" s="3" t="s">
        <v>9</v>
      </c>
      <c r="AB2" s="3" t="s">
        <v>8</v>
      </c>
      <c r="AC2" s="23" t="s">
        <v>13</v>
      </c>
      <c r="AD2" s="3" t="s">
        <v>4</v>
      </c>
      <c r="AE2" s="3" t="s">
        <v>19</v>
      </c>
    </row>
    <row r="3" spans="1:31" x14ac:dyDescent="0.3">
      <c r="A3" s="2">
        <v>10000000</v>
      </c>
      <c r="B3" s="2">
        <v>6000000</v>
      </c>
      <c r="C3" s="14">
        <v>0.95</v>
      </c>
      <c r="D3" s="14">
        <v>0.05</v>
      </c>
      <c r="E3" s="10">
        <f>B3*C3</f>
        <v>5700000</v>
      </c>
      <c r="F3" s="9">
        <f>B3*D3</f>
        <v>300000</v>
      </c>
      <c r="G3" s="28">
        <v>1E-4</v>
      </c>
      <c r="H3" s="5">
        <f>B3*G3</f>
        <v>600</v>
      </c>
      <c r="I3" s="10">
        <f>A3-B3</f>
        <v>4000000</v>
      </c>
      <c r="J3" s="32">
        <f>15000+H3</f>
        <v>15600</v>
      </c>
      <c r="K3" s="16">
        <v>0.2</v>
      </c>
      <c r="L3" s="4">
        <f>100%-K3</f>
        <v>0.8</v>
      </c>
      <c r="M3" s="2">
        <f>B3/L3*K3</f>
        <v>1500000</v>
      </c>
      <c r="N3" s="2">
        <f>B3+M3</f>
        <v>7500000</v>
      </c>
      <c r="O3" s="17">
        <f>E3/N3</f>
        <v>0.76</v>
      </c>
      <c r="P3" s="10">
        <f>A3-N3</f>
        <v>2500000</v>
      </c>
      <c r="Q3" s="30">
        <f>J3/N3</f>
        <v>2.0799999999999998E-3</v>
      </c>
      <c r="R3" s="19">
        <v>0.25</v>
      </c>
      <c r="S3" s="4">
        <f>100%-R3</f>
        <v>0.75</v>
      </c>
      <c r="T3" s="2">
        <f>B3/S3*R3</f>
        <v>2000000</v>
      </c>
      <c r="U3" s="2">
        <f>B3+T3</f>
        <v>8000000</v>
      </c>
      <c r="V3" s="21">
        <f>E3/U3</f>
        <v>0.71250000000000002</v>
      </c>
      <c r="W3" s="10">
        <f>A3-U3</f>
        <v>2000000</v>
      </c>
      <c r="X3" s="31">
        <f>J3/U3</f>
        <v>1.9499999999999999E-3</v>
      </c>
      <c r="Y3" s="24">
        <v>0.3</v>
      </c>
      <c r="Z3" s="4">
        <f>100%-Y3</f>
        <v>0.7</v>
      </c>
      <c r="AA3" s="2">
        <f>B3/Z3*Y3</f>
        <v>2571428.5714285718</v>
      </c>
      <c r="AB3" s="2">
        <f>B3+AA3</f>
        <v>8571428.5714285709</v>
      </c>
      <c r="AC3" s="26">
        <f>E3/AB3</f>
        <v>0.66500000000000004</v>
      </c>
      <c r="AD3" s="10">
        <f>A3-AB3</f>
        <v>1428571.4285714291</v>
      </c>
      <c r="AE3" s="6">
        <f>J3/AB3</f>
        <v>1.8200000000000002E-3</v>
      </c>
    </row>
    <row r="4" spans="1:31" x14ac:dyDescent="0.3">
      <c r="A4" s="2">
        <v>10000000</v>
      </c>
      <c r="B4" s="2">
        <v>5000000</v>
      </c>
      <c r="C4" s="14">
        <v>0.95</v>
      </c>
      <c r="D4" s="14">
        <v>0.05</v>
      </c>
      <c r="E4" s="10">
        <f>B4*C4</f>
        <v>4750000</v>
      </c>
      <c r="F4" s="9">
        <f>B4*D4</f>
        <v>250000</v>
      </c>
      <c r="G4" s="28">
        <v>1E-4</v>
      </c>
      <c r="H4" s="5">
        <f>B4*G4</f>
        <v>500</v>
      </c>
      <c r="I4" s="10">
        <f>A4-B4</f>
        <v>5000000</v>
      </c>
      <c r="J4" s="32">
        <f>15000+H4</f>
        <v>15500</v>
      </c>
      <c r="K4" s="16">
        <v>0.2</v>
      </c>
      <c r="L4" s="4">
        <f>100%-K4</f>
        <v>0.8</v>
      </c>
      <c r="M4" s="2">
        <f>B4/L4*K4</f>
        <v>1250000</v>
      </c>
      <c r="N4" s="2">
        <f>B4+M4</f>
        <v>6250000</v>
      </c>
      <c r="O4" s="17">
        <f>E4/N4</f>
        <v>0.76</v>
      </c>
      <c r="P4" s="10">
        <f>A4-N4</f>
        <v>3750000</v>
      </c>
      <c r="Q4" s="30">
        <f>J4/N4</f>
        <v>2.48E-3</v>
      </c>
      <c r="R4" s="19">
        <v>0.25</v>
      </c>
      <c r="S4" s="4">
        <f>100%-R4</f>
        <v>0.75</v>
      </c>
      <c r="T4" s="2">
        <f>B4/S4*R4</f>
        <v>1666666.6666666667</v>
      </c>
      <c r="U4" s="2">
        <f>B4+T4</f>
        <v>6666666.666666667</v>
      </c>
      <c r="V4" s="21">
        <f>E4/U4</f>
        <v>0.71250000000000002</v>
      </c>
      <c r="W4" s="10">
        <f>A4-U4</f>
        <v>3333333.333333333</v>
      </c>
      <c r="X4" s="31">
        <f>J4/U4</f>
        <v>2.3249999999999998E-3</v>
      </c>
      <c r="Y4" s="24">
        <v>0.3</v>
      </c>
      <c r="Z4" s="4">
        <f>100%-Y4</f>
        <v>0.7</v>
      </c>
      <c r="AA4" s="2">
        <f>B4/Z4*Y4</f>
        <v>2142857.1428571432</v>
      </c>
      <c r="AB4" s="2">
        <f>B4+AA4</f>
        <v>7142857.1428571437</v>
      </c>
      <c r="AC4" s="26">
        <f>E4/AB4</f>
        <v>0.66499999999999992</v>
      </c>
      <c r="AD4" s="10">
        <f>A4-AB4</f>
        <v>2857142.8571428563</v>
      </c>
      <c r="AE4" s="6">
        <f>J4/AB4</f>
        <v>2.1699999999999996E-3</v>
      </c>
    </row>
    <row r="5" spans="1:31" x14ac:dyDescent="0.3">
      <c r="A5" s="2">
        <v>10000000</v>
      </c>
      <c r="B5" s="2">
        <v>7000000</v>
      </c>
      <c r="C5" s="14">
        <v>0.95</v>
      </c>
      <c r="D5" s="14">
        <v>0.05</v>
      </c>
      <c r="E5" s="10">
        <f>B5*C5</f>
        <v>6650000</v>
      </c>
      <c r="F5" s="9">
        <f>B5*D5</f>
        <v>350000</v>
      </c>
      <c r="G5" s="28">
        <v>1E-4</v>
      </c>
      <c r="H5" s="5">
        <f>B5*G5</f>
        <v>700</v>
      </c>
      <c r="I5" s="10">
        <f>A5-B5</f>
        <v>3000000</v>
      </c>
      <c r="J5" s="32">
        <f>15000+H5</f>
        <v>15700</v>
      </c>
      <c r="K5" s="16">
        <v>0.2</v>
      </c>
      <c r="L5" s="4">
        <f>100%-K5</f>
        <v>0.8</v>
      </c>
      <c r="M5" s="2">
        <f>B5/L5*K5</f>
        <v>1750000</v>
      </c>
      <c r="N5" s="2">
        <f>B5+M5</f>
        <v>8750000</v>
      </c>
      <c r="O5" s="17">
        <f>E5/N5</f>
        <v>0.76</v>
      </c>
      <c r="P5" s="10">
        <f>A5-N5</f>
        <v>1250000</v>
      </c>
      <c r="Q5" s="30">
        <f>J5/N5</f>
        <v>1.7942857142857142E-3</v>
      </c>
      <c r="R5" s="19">
        <v>0.25</v>
      </c>
      <c r="S5" s="4">
        <f>100%-R5</f>
        <v>0.75</v>
      </c>
      <c r="T5" s="2">
        <f>B5/S5*R5</f>
        <v>2333333.3333333335</v>
      </c>
      <c r="U5" s="2">
        <f>B5+T5</f>
        <v>9333333.333333334</v>
      </c>
      <c r="V5" s="21">
        <f>E5/U5</f>
        <v>0.71249999999999991</v>
      </c>
      <c r="W5" s="10">
        <f>A5-U5</f>
        <v>666666.66666666605</v>
      </c>
      <c r="X5" s="31">
        <f>J5/U5</f>
        <v>1.6821428571428571E-3</v>
      </c>
      <c r="Y5" s="24">
        <v>0.3</v>
      </c>
      <c r="Z5" s="4">
        <f>100%-Y5</f>
        <v>0.7</v>
      </c>
      <c r="AA5" s="2">
        <f>B5/Z5*Y5</f>
        <v>3000000</v>
      </c>
      <c r="AB5" s="2">
        <f>B5+AA5</f>
        <v>10000000</v>
      </c>
      <c r="AC5" s="26">
        <f>E5/AB5</f>
        <v>0.66500000000000004</v>
      </c>
      <c r="AD5" s="10">
        <f>A5-AB5</f>
        <v>0</v>
      </c>
      <c r="AE5" s="6">
        <f>J5/AB5</f>
        <v>1.57E-3</v>
      </c>
    </row>
  </sheetData>
  <mergeCells count="3">
    <mergeCell ref="K1:P1"/>
    <mergeCell ref="R1:W1"/>
    <mergeCell ref="Y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vollrath</dc:creator>
  <cp:lastModifiedBy>jurgen vollrath</cp:lastModifiedBy>
  <dcterms:created xsi:type="dcterms:W3CDTF">2026-07-30T14:41:54Z</dcterms:created>
  <dcterms:modified xsi:type="dcterms:W3CDTF">2026-07-30T17:51:44Z</dcterms:modified>
</cp:coreProperties>
</file>